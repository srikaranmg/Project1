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7"/>
  <workbookPr filterPrivacy="1" codeName="ThisWorkbook" hidePivotFieldList="1"/>
  <xr:revisionPtr revIDLastSave="0" documentId="13_ncr:1_{937CBD88-D691-CE4E-B736-A0592A93971A}" xr6:coauthVersionLast="47" xr6:coauthVersionMax="47" xr10:uidLastSave="{00000000-0000-0000-0000-000000000000}"/>
  <bookViews>
    <workbookView xWindow="25700" yWindow="680" windowWidth="25360" windowHeight="20780" firstSheet="1" activeTab="10" xr2:uid="{00000000-000D-0000-FFFF-FFFF00000000}"/>
  </bookViews>
  <sheets>
    <sheet name="Dashboard" sheetId="1" r:id="rId1"/>
    <sheet name="Expense Log" sheetId="2" r:id="rId2"/>
    <sheet name="Food" sheetId="5" r:id="rId3"/>
    <sheet name="Groceries" sheetId="6" r:id="rId4"/>
    <sheet name="Vehicle" sheetId="7" r:id="rId5"/>
    <sheet name="Household items" sheetId="8" r:id="rId6"/>
    <sheet name="Medical" sheetId="9" r:id="rId7"/>
    <sheet name="Shopping" sheetId="10" r:id="rId8"/>
    <sheet name="Sports, activites entertainment" sheetId="11" r:id="rId9"/>
    <sheet name="Grooming" sheetId="12" r:id="rId10"/>
    <sheet name="Big purchases" sheetId="13" r:id="rId11"/>
    <sheet name="Personal Expenses Data" sheetId="4" state="hidden" r:id="rId12"/>
  </sheets>
  <definedNames>
    <definedName name="_xlnm.Print_Titles" localSheetId="1">'Expense Log'!$2:$2</definedName>
    <definedName name="Slicer_Category">#N/A</definedName>
    <definedName name="Slicer_Date">#N/A</definedName>
    <definedName name="Slicer_Subcategory">#N/A</definedName>
    <definedName name="Title2">Expenses[[#Headers],[Date]]</definedName>
  </definedNames>
  <calcPr calcId="191029"/>
  <pivotCaches>
    <pivotCache cacheId="3" r:id="rId13"/>
  </pivotCaches>
  <fileRecoveryPr autoRecover="0"/>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5" i="2"/>
  <c r="B10" i="2"/>
  <c r="B11" i="2"/>
  <c r="B12" i="2"/>
  <c r="B9" i="2"/>
  <c r="B13" i="2"/>
  <c r="B15" i="2"/>
  <c r="B14" i="2"/>
  <c r="B17" i="2"/>
  <c r="B19" i="2"/>
  <c r="B22" i="2"/>
  <c r="B21" i="2"/>
  <c r="B20" i="2"/>
  <c r="B18" i="2"/>
  <c r="B16" i="2"/>
  <c r="B8" i="2"/>
  <c r="B6" i="2"/>
  <c r="B4" i="2"/>
  <c r="B3" i="2"/>
</calcChain>
</file>

<file path=xl/sharedStrings.xml><?xml version="1.0" encoding="utf-8"?>
<sst xmlns="http://schemas.openxmlformats.org/spreadsheetml/2006/main" count="68" uniqueCount="39">
  <si>
    <t>to expense log &gt;</t>
  </si>
  <si>
    <t>&lt; to dashboard</t>
  </si>
  <si>
    <t>Housing</t>
  </si>
  <si>
    <t>Internet</t>
  </si>
  <si>
    <t>Landline Phone</t>
  </si>
  <si>
    <t>Electricity</t>
  </si>
  <si>
    <t>Fun</t>
  </si>
  <si>
    <t>Gym</t>
  </si>
  <si>
    <t>Daily</t>
  </si>
  <si>
    <t>Clothing</t>
  </si>
  <si>
    <t>Transport</t>
  </si>
  <si>
    <t>Subway Pass</t>
  </si>
  <si>
    <t>March Pass</t>
  </si>
  <si>
    <t>Fuel</t>
  </si>
  <si>
    <t>Hair Cut</t>
  </si>
  <si>
    <t>Tea/Coffee</t>
  </si>
  <si>
    <t>Sweets / Candy</t>
  </si>
  <si>
    <t>Contact Lenses</t>
  </si>
  <si>
    <t>April Pass</t>
  </si>
  <si>
    <t>Cinema</t>
  </si>
  <si>
    <t>Classic Movie Night</t>
  </si>
  <si>
    <t>personal expenses data</t>
  </si>
  <si>
    <t>The PivotTable below provides the data source for the Personal Expenses PivotChart on the Dashboard. Any changes you make may result in visual modifications to the PivotChart or errors.</t>
  </si>
  <si>
    <t>Row Labels</t>
  </si>
  <si>
    <t>Sum of Amount</t>
  </si>
  <si>
    <t>Mar</t>
  </si>
  <si>
    <t>Apr</t>
  </si>
  <si>
    <t>Jun</t>
  </si>
  <si>
    <t>Aug</t>
  </si>
  <si>
    <t>Grand Total</t>
  </si>
  <si>
    <t>Date</t>
  </si>
  <si>
    <t>Category</t>
  </si>
  <si>
    <t>Subcategory</t>
  </si>
  <si>
    <t>Amount</t>
  </si>
  <si>
    <t>Note</t>
  </si>
  <si>
    <t>Personal Expenses Dashboard</t>
  </si>
  <si>
    <t>Expense Log</t>
  </si>
  <si>
    <t>Column Labels</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</si>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</sst>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00_);_(&quot;$&quot;* \(#,##0.00\);_(&quot;$&quot;* &quot;-&quot;??_);_(@_)"/>
    <numFmt numFmtId="165" formatCode="&quot;₹&quot;#,##0.00"/>
  </numFmts>
  <fonts count="8">
    <font>
      <sz val="11"/>
      <color theme="3"/>
      <name val="Lucida Sans"/>
      <family val="2"/>
      <scheme val="minor"/>
    </font>
    <font>
      <b/>
      <sz val="30"/>
      <color theme="4"/>
      <name val="Rockwell"/>
      <family val="2"/>
      <scheme val="major"/>
    </font>
    <font>
      <sz val="11"/>
      <color theme="3"/>
      <name val="Lucida Sans"/>
      <family val="2"/>
      <scheme val="minor"/>
    </font>
    <font>
      <sz val="11"/>
      <color theme="0"/>
      <name val="Lucida Sans"/>
      <family val="2"/>
      <scheme val="minor"/>
    </font>
    <font>
      <b/>
      <sz val="11"/>
      <color theme="4" tint="-0.24994659260841701"/>
      <name val="Lucida Sans"/>
      <family val="2"/>
      <scheme val="minor"/>
    </font>
    <font>
      <sz val="26"/>
      <color theme="5" tint="-0.499984740745262"/>
      <name val="Rockwell"/>
      <family val="1"/>
      <scheme val="major"/>
    </font>
    <font>
      <b/>
      <sz val="11"/>
      <color theme="5" tint="-0.499984740745262"/>
      <name val="Lucida Sans"/>
      <family val="2"/>
      <scheme val="minor"/>
    </font>
    <font>
      <sz val="11"/>
      <name val="Lucida Sans"/>
      <family val="2"/>
      <scheme val="minor"/>
    </font>
  </fonts>
  <fills count="5">
    <fill>
      <patternFill patternType="none"/>
    </fill>
    <fill>
      <patternFill patternType="gray125"/>
    </fill>
    <fill>
      <patternFill patternType="solid">
        <fgColor theme="2"/>
        <bgColor indexed="64"/>
      </patternFill>
    </fill>
    <fill>
      <patternFill patternType="solid">
        <fgColor theme="2"/>
        <bgColor theme="2" tint="0.79995117038483843"/>
      </patternFill>
    </fill>
    <fill>
      <patternFill patternType="solid">
        <fgColor theme="4"/>
        <bgColor indexed="64"/>
      </patternFill>
    </fill>
  </fills>
  <borders count="3">
    <border>
      <left/>
      <right/>
      <top/>
      <bottom/>
      <diagonal/>
    </border>
    <border>
      <left/>
      <right/>
      <top/>
      <bottom style="thick">
        <color theme="3"/>
      </bottom>
      <diagonal/>
    </border>
    <border>
      <left style="thin">
        <color indexed="64"/>
      </left>
      <right style="thin">
        <color indexed="64"/>
      </right>
      <top style="thin">
        <color indexed="64"/>
      </top>
      <bottom style="thin">
        <color indexed="64"/>
      </bottom>
      <diagonal/>
    </border>
  </borders>
  <cellStyleXfs count="6">
    <xf numFmtId="0" fontId="0" fillId="3" borderId="0">
      <alignment horizontal="left" vertical="center" wrapText="1" indent="1"/>
    </xf>
    <xf numFmtId="0" fontId="1" fillId="2" borderId="1" applyNumberFormat="0" applyAlignment="0" applyProtection="0"/>
    <xf numFmtId="0" fontId="4" fillId="3" borderId="1" applyNumberFormat="0" applyFill="0" applyAlignment="0" applyProtection="0">
      <alignment vertical="center"/>
    </xf>
    <xf numFmtId="0" fontId="2" fillId="3" borderId="1" applyNumberFormat="0" applyFill="0" applyAlignment="0" applyProtection="0">
      <alignment vertical="center"/>
    </xf>
    <xf numFmtId="164" fontId="2" fillId="0" borderId="0" applyFont="0" applyFill="0" applyBorder="0" applyProtection="0">
      <alignment horizontal="right" vertical="center" indent="2"/>
    </xf>
    <xf numFmtId="14" fontId="2" fillId="3" borderId="0" applyFont="0" applyFill="0" applyBorder="0">
      <alignment horizontal="right" vertical="center" indent="3"/>
    </xf>
  </cellStyleXfs>
  <cellXfs count="22">
    <xf numFmtId="0" fontId="0" fillId="3" borderId="0" xfId="0">
      <alignment horizontal="left" vertical="center" wrapText="1" indent="1"/>
    </xf>
    <xf numFmtId="2" fontId="0" fillId="3" borderId="0" xfId="0" applyNumberFormat="1" applyAlignment="1">
      <alignment horizontal="center" vertical="center"/>
    </xf>
    <xf numFmtId="0" fontId="0" fillId="2" borderId="0" xfId="0" applyFill="1">
      <alignment horizontal="left" vertical="center" wrapText="1" indent="1"/>
    </xf>
    <xf numFmtId="0" fontId="0" fillId="0" borderId="0" xfId="0" applyFill="1">
      <alignment horizontal="left" vertical="center" wrapText="1" indent="1"/>
    </xf>
    <xf numFmtId="0" fontId="3" fillId="0" borderId="0" xfId="0" applyFont="1" applyFill="1">
      <alignment horizontal="left" vertical="center" wrapText="1" indent="1"/>
    </xf>
    <xf numFmtId="0" fontId="0" fillId="4" borderId="0" xfId="0" applyFill="1">
      <alignment horizontal="left" vertical="center" wrapText="1" indent="1"/>
    </xf>
    <xf numFmtId="0" fontId="6" fillId="4" borderId="0" xfId="2" applyFont="1" applyFill="1" applyBorder="1" applyAlignment="1">
      <alignment horizontal="right" vertical="center"/>
    </xf>
    <xf numFmtId="0" fontId="0" fillId="3" borderId="0" xfId="0" applyAlignment="1">
      <alignment horizontal="left" vertical="center"/>
    </xf>
    <xf numFmtId="0" fontId="7" fillId="3" borderId="0" xfId="0" applyFont="1">
      <alignment horizontal="left" vertical="center" wrapText="1" indent="1"/>
    </xf>
    <xf numFmtId="164" fontId="7" fillId="3" borderId="0" xfId="4" applyFont="1" applyFill="1" applyBorder="1">
      <alignment horizontal="right" vertical="center" indent="2"/>
    </xf>
    <xf numFmtId="0" fontId="7" fillId="3" borderId="0" xfId="0" applyFont="1" applyAlignment="1">
      <alignment horizontal="left" vertical="center" wrapText="1"/>
    </xf>
    <xf numFmtId="14" fontId="7" fillId="3" borderId="0" xfId="5" applyFont="1" applyFill="1" applyBorder="1" applyAlignment="1">
      <alignment horizontal="center" vertical="center"/>
    </xf>
    <xf numFmtId="0" fontId="5" fillId="4" borderId="0" xfId="1" applyFont="1" applyFill="1" applyBorder="1" applyAlignment="1">
      <alignment horizontal="left" vertical="center"/>
    </xf>
    <xf numFmtId="0" fontId="3" fillId="0" borderId="0" xfId="0" applyFont="1" applyFill="1" applyAlignment="1">
      <alignment horizontal="center" vertical="center"/>
    </xf>
    <xf numFmtId="0" fontId="0" fillId="3" borderId="0" xfId="0" applyAlignment="1">
      <alignment horizontal="left" vertical="center" wrapText="1"/>
    </xf>
    <xf numFmtId="0" fontId="3" fillId="0" borderId="0" xfId="0" applyFont="1" applyFill="1" applyAlignment="1">
      <alignment horizontal="center" vertical="center"/>
    </xf>
    <xf numFmtId="0" fontId="5" fillId="4" borderId="0" xfId="1" applyFont="1" applyFill="1" applyBorder="1" applyAlignment="1">
      <alignment horizontal="left" vertical="center"/>
    </xf>
    <xf numFmtId="0" fontId="1" fillId="2" borderId="1" xfId="1" applyAlignment="1">
      <alignment vertical="center"/>
    </xf>
    <xf numFmtId="0" fontId="0" fillId="3" borderId="0" xfId="0">
      <alignment horizontal="left" vertical="center" wrapText="1" indent="1"/>
    </xf>
    <xf numFmtId="0" fontId="0" fillId="3" borderId="2" xfId="0" applyBorder="1">
      <alignment horizontal="left" vertical="center" wrapText="1" indent="1"/>
    </xf>
    <xf numFmtId="0" fontId="0" fillId="3" borderId="0" xfId="0" applyBorder="1">
      <alignment horizontal="left" vertical="center" wrapText="1" indent="1"/>
    </xf>
    <xf numFmtId="165" fontId="0" fillId="3" borderId="2" xfId="0" applyNumberFormat="1" applyBorder="1">
      <alignment horizontal="left" vertical="center" wrapText="1" indent="1"/>
    </xf>
  </cellXfs>
  <cellStyles count="6">
    <cellStyle name="Currency" xfId="4" builtinId="4" customBuiltin="1"/>
    <cellStyle name="Date" xfId="5" xr:uid="{00000000-0005-0000-0000-000001000000}"/>
    <cellStyle name="Followed Hyperlink" xfId="3" builtinId="9" customBuiltin="1"/>
    <cellStyle name="Hyperlink" xfId="2" builtinId="8" customBuiltin="1"/>
    <cellStyle name="Normal" xfId="0" builtinId="0" customBuiltin="1"/>
    <cellStyle name="Title" xfId="1" builtinId="15" customBuiltin="1"/>
  </cellStyles>
  <dxfs count="26">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ont>
        <strike val="0"/>
        <outline val="0"/>
        <shadow val="0"/>
        <u val="none"/>
        <vertAlign val="baseline"/>
        <sz val="11"/>
        <color auto="1"/>
        <name val="Lucida Sans"/>
        <family val="2"/>
        <scheme val="minor"/>
      </font>
    </dxf>
    <dxf>
      <font>
        <strike val="0"/>
        <outline val="0"/>
        <shadow val="0"/>
        <u val="none"/>
        <vertAlign val="baseline"/>
        <sz val="11"/>
        <color auto="1"/>
        <name val="Lucida Sans"/>
        <family val="2"/>
        <scheme val="minor"/>
      </font>
    </dxf>
    <dxf>
      <font>
        <strike val="0"/>
        <outline val="0"/>
        <shadow val="0"/>
        <u val="none"/>
        <vertAlign val="baseline"/>
        <sz val="11"/>
        <color auto="1"/>
        <name val="Lucida Sans"/>
        <family val="2"/>
        <scheme val="minor"/>
      </font>
    </dxf>
    <dxf>
      <font>
        <strike val="0"/>
        <outline val="0"/>
        <shadow val="0"/>
        <u val="none"/>
        <vertAlign val="baseline"/>
        <sz val="11"/>
        <color auto="1"/>
        <name val="Lucida Sans"/>
        <family val="2"/>
        <scheme val="minor"/>
      </font>
    </dxf>
    <dxf>
      <font>
        <strike val="0"/>
        <outline val="0"/>
        <shadow val="0"/>
        <u val="none"/>
        <vertAlign val="baseline"/>
        <sz val="11"/>
        <color auto="1"/>
        <name val="Lucida Sans"/>
        <family val="2"/>
        <scheme val="minor"/>
      </font>
      <alignment horizontal="center" vertical="center" textRotation="0" wrapText="0" indent="0" justifyLastLine="0" shrinkToFit="0" readingOrder="0"/>
    </dxf>
    <dxf>
      <font>
        <strike val="0"/>
        <outline val="0"/>
        <shadow val="0"/>
        <u val="none"/>
        <vertAlign val="baseline"/>
        <sz val="11"/>
        <color auto="1"/>
        <name val="Lucida Sans"/>
        <family val="2"/>
        <scheme val="minor"/>
      </font>
    </dxf>
    <dxf>
      <alignment vertical="center" textRotation="0" wrapText="0" indent="0" justifyLastLine="0" shrinkToFit="0" readingOrder="0"/>
    </dxf>
    <dxf>
      <font>
        <b/>
        <i val="0"/>
        <color theme="0"/>
        <name val="Rockwell"/>
        <family val="1"/>
        <scheme val="major"/>
      </font>
      <fill>
        <patternFill patternType="solid">
          <bgColor theme="6" tint="-0.499984740745262"/>
        </patternFill>
      </fill>
      <border diagonalUp="0" diagonalDown="0">
        <left/>
        <right/>
        <top/>
        <bottom/>
        <vertical/>
        <horizontal/>
      </border>
    </dxf>
    <dxf>
      <font>
        <sz val="11"/>
        <color theme="1"/>
        <name val="Lucida Sans"/>
        <scheme val="minor"/>
      </font>
      <fill>
        <patternFill patternType="solid">
          <bgColor rgb="FFEAEAEA"/>
        </patternFill>
      </fill>
      <border>
        <left/>
        <right/>
        <top/>
        <bottom/>
        <vertical/>
        <horizontal/>
      </border>
    </dxf>
    <dxf>
      <fill>
        <patternFill patternType="solid">
          <fgColor theme="2" tint="0.59996337778862885"/>
          <bgColor theme="0" tint="-4.9989318521683403E-2"/>
        </patternFill>
      </fill>
    </dxf>
    <dxf>
      <fill>
        <patternFill patternType="solid">
          <fgColor theme="2" tint="0.79995117038483843"/>
          <bgColor theme="2"/>
        </patternFill>
      </fill>
    </dxf>
    <dxf>
      <font>
        <b/>
        <i val="0"/>
        <color theme="2" tint="0.79998168889431442"/>
      </font>
      <fill>
        <patternFill>
          <bgColor theme="6" tint="-0.499984740745262"/>
        </patternFill>
      </fill>
      <border>
        <top style="thick">
          <color theme="0"/>
        </top>
      </border>
    </dxf>
    <dxf>
      <font>
        <b val="0"/>
        <i val="0"/>
        <color theme="3"/>
      </font>
      <fill>
        <patternFill patternType="none">
          <bgColor auto="1"/>
        </patternFill>
      </fill>
      <border diagonalUp="0" diagonalDown="0">
        <left/>
        <right/>
        <top/>
        <bottom style="thick">
          <color theme="6" tint="-0.499984740745262"/>
        </bottom>
        <vertical/>
        <horizontal/>
      </border>
    </dxf>
  </dxfs>
  <tableStyles count="2" defaultTableStyle="Expense Log" defaultPivotStyle="PivotStyleMedium9">
    <tableStyle name="Expense Log" pivot="0" count="4" xr9:uid="{00000000-0011-0000-FFFF-FFFF00000000}">
      <tableStyleElement type="wholeTable" dxfId="25"/>
      <tableStyleElement type="headerRow" dxfId="24"/>
      <tableStyleElement type="firstRowStripe" dxfId="23"/>
      <tableStyleElement type="secondRowStripe" dxfId="22"/>
    </tableStyle>
    <tableStyle name="Personal Expense Slicer" pivot="0" table="0" count="10" xr9:uid="{00000000-0011-0000-FFFF-FFFF01000000}">
      <tableStyleElement type="wholeTable" dxfId="21"/>
      <tableStyleElement type="headerRow" dxfId="20"/>
    </tableStyle>
  </tableStyles>
  <colors>
    <mruColors>
      <color rgb="FFEAEAEA"/>
      <color rgb="FFDDDDDD"/>
      <color rgb="FF5F5F5F"/>
      <color rgb="FF808080"/>
      <color rgb="FFF8F7EB"/>
      <color rgb="FFF8F7EC"/>
      <color rgb="FFFFD0AA"/>
    </mruColors>
  </colors>
  <extLst>
    <ext xmlns:x14="http://schemas.microsoft.com/office/spreadsheetml/2009/9/main" uri="{46F421CA-312F-682f-3DD2-61675219B42D}">
      <x14:dxfs count="8">
        <dxf>
          <font>
            <color rgb="FF5F5F5F"/>
          </font>
          <fill>
            <patternFill patternType="solid">
              <fgColor auto="1"/>
              <bgColor theme="7" tint="0.59996337778862885"/>
            </patternFill>
          </fill>
          <border diagonalUp="0" diagonalDown="0">
            <left/>
            <right/>
            <top/>
            <bottom/>
            <vertical/>
            <horizontal/>
          </border>
        </dxf>
        <dxf>
          <font>
            <color theme="3"/>
          </font>
          <fill>
            <patternFill patternType="solid">
              <fgColor auto="1"/>
              <bgColor theme="3" tint="0.79998168889431442"/>
            </patternFill>
          </fill>
          <border diagonalUp="0" diagonalDown="0">
            <left/>
            <right/>
            <top/>
            <bottom/>
            <vertical/>
            <horizontal/>
          </border>
        </dxf>
        <dxf>
          <font>
            <color auto="1"/>
          </font>
          <fill>
            <patternFill patternType="solid">
              <fgColor auto="1"/>
              <bgColor theme="7" tint="0.59996337778862885"/>
            </patternFill>
          </fill>
          <border diagonalUp="0" diagonalDown="0">
            <left/>
            <right/>
            <top/>
            <bottom/>
            <vertical/>
            <horizontal/>
          </border>
        </dxf>
        <dxf>
          <font>
            <b/>
            <i val="0"/>
            <color rgb="FF5F5F5F"/>
          </font>
          <fill>
            <patternFill patternType="solid">
              <fgColor auto="1"/>
              <bgColor rgb="FFDDDDDD"/>
            </patternFill>
          </fill>
          <border diagonalUp="0" diagonalDown="0">
            <left/>
            <right/>
            <top/>
            <bottom/>
            <vertical/>
            <horizontal/>
          </border>
        </dxf>
        <dxf>
          <font>
            <b/>
            <i val="0"/>
            <color theme="0"/>
          </font>
          <fill>
            <patternFill patternType="solid">
              <fgColor theme="6" tint="0.59999389629810485"/>
              <bgColor theme="7" tint="0.39994506668294322"/>
            </patternFill>
          </fill>
          <border diagonalUp="0" diagonalDown="0">
            <left/>
            <right/>
            <top/>
            <bottom/>
            <vertical/>
            <horizontal/>
          </border>
        </dxf>
        <dxf>
          <font>
            <b/>
            <i val="0"/>
            <color auto="1"/>
          </font>
          <fill>
            <patternFill patternType="solid">
              <fgColor theme="6"/>
              <bgColor theme="7"/>
            </patternFill>
          </fill>
          <border diagonalUp="0" diagonalDown="0">
            <left/>
            <right/>
            <top/>
            <bottom/>
            <vertical/>
            <horizontal/>
          </border>
        </dxf>
        <dxf>
          <font>
            <color rgb="FF808080"/>
          </font>
          <fill>
            <patternFill patternType="solid">
              <fgColor rgb="FFDFDFDF"/>
              <bgColor theme="2" tint="0.59996337778862885"/>
            </patternFill>
          </fill>
          <border>
            <left style="thin">
              <color rgb="FFDFDFDF"/>
            </left>
            <right style="thin">
              <color rgb="FFDFDFDF"/>
            </right>
            <top style="thin">
              <color rgb="FFDFDFDF"/>
            </top>
            <bottom style="thin">
              <color rgb="FFDFDFDF"/>
            </bottom>
            <vertical/>
            <horizontal/>
          </border>
        </dxf>
        <dxf>
          <font>
            <sz val="9"/>
            <color rgb="FF808080"/>
            <name val="Lucida Sans"/>
            <scheme val="minor"/>
          </font>
          <fill>
            <patternFill patternType="solid">
              <fgColor rgb="FFC0C0C0"/>
              <bgColor theme="2" tint="0.59996337778862885"/>
            </patternFill>
          </fill>
          <border>
            <left style="thin">
              <color theme="0" tint="-0.34998626667073579"/>
            </left>
            <right style="thin">
              <color theme="0" tint="-0.34998626667073579"/>
            </right>
            <top style="thin">
              <color theme="0" tint="-0.34998626667073579"/>
            </top>
            <bottom style="thin">
              <color theme="0" tint="-0.34998626667073579"/>
            </bottom>
            <vertical/>
            <horizontal style="thin">
              <color theme="7"/>
            </horizontal>
          </border>
        </dxf>
      </x14:dxfs>
    </ext>
    <ext xmlns:x14="http://schemas.microsoft.com/office/spreadsheetml/2009/9/main" uri="{EB79DEF2-80B8-43e5-95BD-54CBDDF9020C}">
      <x14:slicerStyles defaultSlicerStyle="Personal Expense Slicer">
        <x14:slicerStyle name="Personal Expens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expenses.xlsx]Personal Expenses Data!PersonalExpensesData</c:name>
    <c:fmtId val="2"/>
  </c:pivotSource>
  <c:chart>
    <c:autoTitleDeleted val="1"/>
    <c:pivotFmts>
      <c:pivotFmt>
        <c:idx val="0"/>
      </c:pivotFmt>
      <c:pivotFmt>
        <c:idx val="1"/>
      </c:pivotFmt>
      <c:pivotFmt>
        <c:idx val="2"/>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3">
                      <a:lumMod val="50000"/>
                    </a:schemeClr>
                  </a:solidFill>
                  <a:latin typeface="+mj-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250175624598648E-2"/>
          <c:y val="0.14504584646195012"/>
          <c:w val="0.95901312335958"/>
          <c:h val="0.74146723840181872"/>
        </c:manualLayout>
      </c:layout>
      <c:barChart>
        <c:barDir val="col"/>
        <c:grouping val="clustered"/>
        <c:varyColors val="0"/>
        <c:ser>
          <c:idx val="0"/>
          <c:order val="0"/>
          <c:tx>
            <c:strRef>
              <c:f>'Personal Expenses Data'!$C$3:$C$4</c:f>
              <c:strCache>
                <c:ptCount val="1"/>
                <c:pt idx="0">
                  <c:v>Daily</c:v>
                </c:pt>
              </c:strCache>
            </c:strRef>
          </c:tx>
          <c:spPr>
            <a:solidFill>
              <a:schemeClr val="accent1"/>
            </a:solidFill>
            <a:ln>
              <a:noFill/>
            </a:ln>
            <a:effectLst/>
          </c:spPr>
          <c:invertIfNegative val="0"/>
          <c:cat>
            <c:strRef>
              <c:f>'Personal Expenses Data'!$B$5:$B$9</c:f>
              <c:strCache>
                <c:ptCount val="4"/>
                <c:pt idx="0">
                  <c:v>Mar</c:v>
                </c:pt>
                <c:pt idx="1">
                  <c:v>Apr</c:v>
                </c:pt>
                <c:pt idx="2">
                  <c:v>Jun</c:v>
                </c:pt>
                <c:pt idx="3">
                  <c:v>Aug</c:v>
                </c:pt>
              </c:strCache>
            </c:strRef>
          </c:cat>
          <c:val>
            <c:numRef>
              <c:f>'Personal Expenses Data'!$C$5:$C$9</c:f>
              <c:numCache>
                <c:formatCode>General</c:formatCode>
                <c:ptCount val="4"/>
                <c:pt idx="0">
                  <c:v>42</c:v>
                </c:pt>
                <c:pt idx="1">
                  <c:v>97.75</c:v>
                </c:pt>
                <c:pt idx="2">
                  <c:v>12</c:v>
                </c:pt>
                <c:pt idx="3">
                  <c:v>2.75</c:v>
                </c:pt>
              </c:numCache>
            </c:numRef>
          </c:val>
          <c:extLst>
            <c:ext xmlns:c16="http://schemas.microsoft.com/office/drawing/2014/chart" uri="{C3380CC4-5D6E-409C-BE32-E72D297353CC}">
              <c16:uniqueId val="{00000000-3D53-4ACC-8C3A-2039B3F6BE23}"/>
            </c:ext>
          </c:extLst>
        </c:ser>
        <c:dLbls>
          <c:showLegendKey val="0"/>
          <c:showVal val="0"/>
          <c:showCatName val="0"/>
          <c:showSerName val="0"/>
          <c:showPercent val="0"/>
          <c:showBubbleSize val="0"/>
        </c:dLbls>
        <c:gapWidth val="35"/>
        <c:axId val="369003632"/>
        <c:axId val="369002848"/>
      </c:barChart>
      <c:catAx>
        <c:axId val="369003632"/>
        <c:scaling>
          <c:orientation val="minMax"/>
        </c:scaling>
        <c:delete val="0"/>
        <c:axPos val="b"/>
        <c:numFmt formatCode="General" sourceLinked="0"/>
        <c:majorTickMark val="none"/>
        <c:minorTickMark val="none"/>
        <c:tickLblPos val="nextTo"/>
        <c:spPr>
          <a:noFill/>
          <a:ln w="12700" cap="flat" cmpd="sng" algn="ctr">
            <a:solidFill>
              <a:schemeClr val="tx2">
                <a:lumMod val="20000"/>
                <a:lumOff val="80000"/>
              </a:schemeClr>
            </a:solidFill>
            <a:prstDash val="solid"/>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69002848"/>
        <c:crosses val="autoZero"/>
        <c:auto val="1"/>
        <c:lblAlgn val="ctr"/>
        <c:lblOffset val="100"/>
        <c:noMultiLvlLbl val="0"/>
      </c:catAx>
      <c:valAx>
        <c:axId val="369002848"/>
        <c:scaling>
          <c:orientation val="minMax"/>
        </c:scaling>
        <c:delete val="0"/>
        <c:axPos val="l"/>
        <c:majorGridlines>
          <c:spPr>
            <a:ln w="3175" cap="flat" cmpd="sng" algn="ctr">
              <a:solidFill>
                <a:schemeClr val="tx2">
                  <a:lumMod val="20000"/>
                  <a:lumOff val="80000"/>
                  <a:alpha val="50000"/>
                </a:schemeClr>
              </a:solidFill>
              <a:prstDash val="solid"/>
              <a:round/>
            </a:ln>
            <a:effectLst/>
          </c:spPr>
        </c:majorGridlines>
        <c:numFmt formatCode="General" sourceLinked="1"/>
        <c:majorTickMark val="none"/>
        <c:minorTickMark val="none"/>
        <c:tickLblPos val="nextTo"/>
        <c:spPr>
          <a:noFill/>
          <a:ln w="9525" cap="flat" cmpd="sng" algn="ctr">
            <a:noFill/>
            <a:prstDash val="solid"/>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369003632"/>
        <c:crosses val="autoZero"/>
        <c:crossBetween val="between"/>
      </c:valAx>
      <c:spPr>
        <a:noFill/>
        <a:ln>
          <a:noFill/>
        </a:ln>
        <a:effectLst/>
      </c:spPr>
    </c:plotArea>
    <c:legend>
      <c:legendPos val="t"/>
      <c:layout>
        <c:manualLayout>
          <c:xMode val="edge"/>
          <c:yMode val="edge"/>
          <c:x val="3.9964915771906568E-3"/>
          <c:y val="1.6504856261546089E-2"/>
          <c:w val="0.2025092674467385"/>
          <c:h val="4.750972692693655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showDLblsOverMax val="0"/>
  </c:chart>
  <c:spPr>
    <a:noFill/>
    <a:ln w="9525" cap="flat" cmpd="sng" algn="ctr">
      <a:noFill/>
      <a:prstDash val="solid"/>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0</xdr:colOff>
      <xdr:row>1</xdr:row>
      <xdr:rowOff>4616823</xdr:rowOff>
    </xdr:to>
    <xdr:graphicFrame macro="">
      <xdr:nvGraphicFramePr>
        <xdr:cNvPr id="2" name="Personal Expenses" descr="Personal Expense PivotChart for total expenses by category, grouped by month">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141092</xdr:colOff>
      <xdr:row>2</xdr:row>
      <xdr:rowOff>82516</xdr:rowOff>
    </xdr:from>
    <xdr:to>
      <xdr:col>4</xdr:col>
      <xdr:colOff>979496</xdr:colOff>
      <xdr:row>2</xdr:row>
      <xdr:rowOff>1732837</xdr:rowOff>
    </xdr:to>
    <mc:AlternateContent xmlns:mc="http://schemas.openxmlformats.org/markup-compatibility/2006" xmlns:a14="http://schemas.microsoft.com/office/drawing/2010/main">
      <mc:Choice Requires="a14">
        <xdr:graphicFrame macro="">
          <xdr:nvGraphicFramePr>
            <xdr:cNvPr id="4" name="Category" descr="Slicer to filter table data based on category">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995916" y="5539781"/>
              <a:ext cx="2821845" cy="1650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145165</xdr:colOff>
      <xdr:row>2</xdr:row>
      <xdr:rowOff>82516</xdr:rowOff>
    </xdr:from>
    <xdr:to>
      <xdr:col>6</xdr:col>
      <xdr:colOff>181</xdr:colOff>
      <xdr:row>2</xdr:row>
      <xdr:rowOff>1732837</xdr:rowOff>
    </xdr:to>
    <mc:AlternateContent xmlns:mc="http://schemas.openxmlformats.org/markup-compatibility/2006" xmlns:a14="http://schemas.microsoft.com/office/drawing/2010/main">
      <mc:Choice Requires="a14">
        <xdr:graphicFrame macro="">
          <xdr:nvGraphicFramePr>
            <xdr:cNvPr id="5" name="Subcategory" descr="Slicer to filter table data based on subcategory">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7104018" y="5539781"/>
              <a:ext cx="6120000" cy="16503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164522</xdr:colOff>
      <xdr:row>2</xdr:row>
      <xdr:rowOff>82082</xdr:rowOff>
    </xdr:from>
    <xdr:to>
      <xdr:col>2</xdr:col>
      <xdr:colOff>1987006</xdr:colOff>
      <xdr:row>2</xdr:row>
      <xdr:rowOff>1723744</xdr:rowOff>
    </xdr:to>
    <mc:AlternateContent xmlns:mc="http://schemas.openxmlformats.org/markup-compatibility/2006" xmlns:a14="http://schemas.microsoft.com/office/drawing/2010/main">
      <mc:Choice Requires="a14">
        <xdr:graphicFrame macro="">
          <xdr:nvGraphicFramePr>
            <xdr:cNvPr id="3" name="Date" descr="Slicer to filter PivotChart based on dat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99846" y="5539347"/>
              <a:ext cx="3290454" cy="164166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179294</xdr:colOff>
      <xdr:row>0</xdr:row>
      <xdr:rowOff>90337</xdr:rowOff>
    </xdr:from>
    <xdr:to>
      <xdr:col>1</xdr:col>
      <xdr:colOff>818029</xdr:colOff>
      <xdr:row>0</xdr:row>
      <xdr:rowOff>728383</xdr:rowOff>
    </xdr:to>
    <xdr:pic>
      <xdr:nvPicPr>
        <xdr:cNvPr id="7" name="Picture 6" descr="decorative element">
          <a:extLst>
            <a:ext uri="{FF2B5EF4-FFF2-40B4-BE49-F238E27FC236}">
              <a16:creationId xmlns:a16="http://schemas.microsoft.com/office/drawing/2014/main" id="{0B4E9C91-5EE0-40F3-9461-A931F6E384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4618" y="90337"/>
          <a:ext cx="638735" cy="6380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Author" refreshedDate="45825.593336342594" createdVersion="5" refreshedVersion="8" minRefreshableVersion="3" recordCount="20" xr:uid="{00000000-000A-0000-FFFF-FFFF05000000}">
  <cacheSource type="worksheet">
    <worksheetSource name="Expenses"/>
  </cacheSource>
  <cacheFields count="5">
    <cacheField name="Date" numFmtId="14">
      <sharedItems containsSemiMixedTypes="0" containsNonDate="0" containsDate="1" containsString="0" minDate="2025-03-02T00:00:00" maxDate="2025-08-02T00:00:00" count="10">
        <d v="2025-03-02T00:00:00"/>
        <d v="2025-03-04T00:00:00"/>
        <d v="2025-03-06T00:00:00"/>
        <d v="2025-04-02T00:00:00"/>
        <d v="2025-04-04T00:00:00"/>
        <d v="2025-04-06T00:00:00"/>
        <d v="2025-05-01T00:00:00"/>
        <d v="2025-06-01T00:00:00"/>
        <d v="2025-07-01T00:00:00"/>
        <d v="2025-08-01T00:00:00"/>
      </sharedItems>
      <fieldGroup base="0">
        <rangePr groupBy="months" startDate="2025-03-02T00:00:00" endDate="2025-08-02T00:00:00"/>
        <groupItems count="14">
          <s v="&lt;02/03/25"/>
          <s v="Jan"/>
          <s v="Feb"/>
          <s v="Mar"/>
          <s v="Apr"/>
          <s v="May"/>
          <s v="Jun"/>
          <s v="Jul"/>
          <s v="Aug"/>
          <s v="Sep"/>
          <s v="Oct"/>
          <s v="Nov"/>
          <s v="Dec"/>
          <s v="&gt;02/08/25"/>
        </groupItems>
      </fieldGroup>
    </cacheField>
    <cacheField name="Category" numFmtId="0">
      <sharedItems count="4">
        <s v="Housing"/>
        <s v="Fun"/>
        <s v="Daily"/>
        <s v="Transport"/>
      </sharedItems>
    </cacheField>
    <cacheField name="Subcategory" numFmtId="0">
      <sharedItems count="12">
        <s v="Internet"/>
        <s v="Landline Phone"/>
        <s v="Electricity"/>
        <s v="Gym"/>
        <s v="Clothing"/>
        <s v="Subway Pass"/>
        <s v="Fuel"/>
        <s v="Hair Cut"/>
        <s v="Tea/Coffee"/>
        <s v="Sweets / Candy"/>
        <s v="Contact Lenses"/>
        <s v="Cinema"/>
      </sharedItems>
    </cacheField>
    <cacheField name="Amount" numFmtId="164">
      <sharedItems containsSemiMixedTypes="0" containsString="0" containsNumber="1" minValue="2.75" maxValue="62"/>
    </cacheField>
    <cacheField name="Note" numFmtId="0">
      <sharedItems containsBlank="1"/>
    </cacheField>
  </cacheFields>
  <extLst>
    <ext xmlns:x14="http://schemas.microsoft.com/office/spreadsheetml/2009/9/main" uri="{725AE2AE-9491-48be-B2B4-4EB974FC3084}">
      <x14:pivotCacheDefinition pivotCacheId="2"/>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ersonalExpensesData" cacheId="3"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0">
  <location ref="B3:D9" firstHeaderRow="1" firstDataRow="2" firstDataCol="1"/>
  <pivotFields count="5">
    <pivotField axis="axisRow" showAll="0">
      <items count="15">
        <item x="0"/>
        <item x="1"/>
        <item x="2"/>
        <item x="3"/>
        <item x="4"/>
        <item x="5"/>
        <item x="6"/>
        <item x="7"/>
        <item x="8"/>
        <item x="9"/>
        <item x="10"/>
        <item x="11"/>
        <item x="12"/>
        <item x="13"/>
        <item t="default"/>
      </items>
    </pivotField>
    <pivotField axis="axisCol" showAll="0">
      <items count="5">
        <item h="1" sd="0" x="1"/>
        <item h="1" sd="0" x="3"/>
        <item x="2"/>
        <item h="1" x="0"/>
        <item t="default" sd="0"/>
      </items>
    </pivotField>
    <pivotField showAll="0">
      <items count="13">
        <item x="11"/>
        <item x="4"/>
        <item x="10"/>
        <item x="2"/>
        <item x="6"/>
        <item x="3"/>
        <item x="7"/>
        <item x="0"/>
        <item x="1"/>
        <item x="5"/>
        <item x="9"/>
        <item x="8"/>
        <item t="default"/>
      </items>
    </pivotField>
    <pivotField dataField="1" showAll="0"/>
    <pivotField showAll="0"/>
  </pivotFields>
  <rowFields count="1">
    <field x="0"/>
  </rowFields>
  <rowItems count="5">
    <i>
      <x v="3"/>
    </i>
    <i>
      <x v="4"/>
    </i>
    <i>
      <x v="6"/>
    </i>
    <i>
      <x v="8"/>
    </i>
    <i t="grand">
      <x/>
    </i>
  </rowItems>
  <colFields count="1">
    <field x="1"/>
  </colFields>
  <colItems count="2">
    <i>
      <x v="2"/>
    </i>
    <i t="grand">
      <x/>
    </i>
  </colItems>
  <dataFields count="1">
    <dataField name="Sum of Amount" fld="3" baseField="0" baseItem="0"/>
  </dataFields>
  <formats count="13">
    <format dxfId="12">
      <pivotArea type="all" dataOnly="0" outline="0" fieldPosition="0"/>
    </format>
    <format dxfId="11">
      <pivotArea outline="0" collapsedLevelsAreSubtotals="1" fieldPosition="0"/>
    </format>
    <format dxfId="10">
      <pivotArea field="0" type="button" dataOnly="0" labelOnly="1" outline="0" axis="axisRow" fieldPosition="0"/>
    </format>
    <format dxfId="9">
      <pivotArea dataOnly="0" labelOnly="1" outline="0" axis="axisValues" fieldPosition="0"/>
    </format>
    <format dxfId="8">
      <pivotArea dataOnly="0" labelOnly="1" fieldPosition="0">
        <references count="1">
          <reference field="0" count="6">
            <x v="3"/>
            <x v="4"/>
            <x v="5"/>
            <x v="6"/>
            <x v="7"/>
            <x v="8"/>
          </reference>
        </references>
      </pivotArea>
    </format>
    <format dxfId="7">
      <pivotArea dataOnly="0" labelOnly="1" grandRow="1" outline="0" fieldPosition="0"/>
    </format>
    <format dxfId="6">
      <pivotArea dataOnly="0" labelOnly="1" fieldPosition="0">
        <references count="2">
          <reference field="0" count="1" selected="0">
            <x v="3"/>
          </reference>
          <reference field="1" count="0"/>
        </references>
      </pivotArea>
    </format>
    <format dxfId="5">
      <pivotArea dataOnly="0" labelOnly="1" fieldPosition="0">
        <references count="2">
          <reference field="0" count="1" selected="0">
            <x v="4"/>
          </reference>
          <reference field="1" count="3">
            <x v="1"/>
            <x v="2"/>
            <x v="3"/>
          </reference>
        </references>
      </pivotArea>
    </format>
    <format dxfId="4">
      <pivotArea dataOnly="0" labelOnly="1" fieldPosition="0">
        <references count="2">
          <reference field="0" count="1" selected="0">
            <x v="5"/>
          </reference>
          <reference field="1" count="1">
            <x v="1"/>
          </reference>
        </references>
      </pivotArea>
    </format>
    <format dxfId="3">
      <pivotArea dataOnly="0" labelOnly="1" fieldPosition="0">
        <references count="2">
          <reference field="0" count="1" selected="0">
            <x v="6"/>
          </reference>
          <reference field="1" count="1">
            <x v="2"/>
          </reference>
        </references>
      </pivotArea>
    </format>
    <format dxfId="2">
      <pivotArea dataOnly="0" labelOnly="1" fieldPosition="0">
        <references count="2">
          <reference field="0" count="1" selected="0">
            <x v="7"/>
          </reference>
          <reference field="1" count="1">
            <x v="0"/>
          </reference>
        </references>
      </pivotArea>
    </format>
    <format dxfId="1">
      <pivotArea dataOnly="0" labelOnly="1" fieldPosition="0">
        <references count="2">
          <reference field="0" count="1" selected="0">
            <x v="8"/>
          </reference>
          <reference field="1" count="1">
            <x v="2"/>
          </reference>
        </references>
      </pivotArea>
    </format>
    <format dxfId="0">
      <pivotArea dataOnly="0" labelOnly="1" outline="0" axis="axisValues" fieldPosition="0"/>
    </format>
  </formats>
  <chartFormats count="8">
    <chartFormat chart="2" format="17" series="1">
      <pivotArea type="data" outline="0" fieldPosition="0">
        <references count="1">
          <reference field="1" count="1" selected="0">
            <x v="0"/>
          </reference>
        </references>
      </pivotArea>
    </chartFormat>
    <chartFormat chart="2" format="18" series="1">
      <pivotArea type="data" outline="0" fieldPosition="0">
        <references count="1">
          <reference field="1" count="1" selected="0">
            <x v="1"/>
          </reference>
        </references>
      </pivotArea>
    </chartFormat>
    <chartFormat chart="2" format="21" series="1">
      <pivotArea type="data" outline="0" fieldPosition="0">
        <references count="1">
          <reference field="1" count="1" selected="0">
            <x v="2"/>
          </reference>
        </references>
      </pivotArea>
    </chartFormat>
    <chartFormat chart="2" format="22" series="1">
      <pivotArea type="data" outline="0" fieldPosition="0">
        <references count="1">
          <reference field="1" count="1" selected="0">
            <x v="3"/>
          </reference>
        </references>
      </pivotArea>
    </chartFormat>
    <chartFormat chart="2" format="23" series="1">
      <pivotArea type="data" outline="0" fieldPosition="0">
        <references count="2">
          <reference field="4294967294" count="1" selected="0">
            <x v="0"/>
          </reference>
          <reference field="1" count="1" selected="0">
            <x v="0"/>
          </reference>
        </references>
      </pivotArea>
    </chartFormat>
    <chartFormat chart="2" format="24" series="1">
      <pivotArea type="data" outline="0" fieldPosition="0">
        <references count="2">
          <reference field="4294967294" count="1" selected="0">
            <x v="0"/>
          </reference>
          <reference field="1" count="1" selected="0">
            <x v="1"/>
          </reference>
        </references>
      </pivotArea>
    </chartFormat>
    <chartFormat chart="2" format="25" series="1">
      <pivotArea type="data" outline="0" fieldPosition="0">
        <references count="2">
          <reference field="4294967294" count="1" selected="0">
            <x v="0"/>
          </reference>
          <reference field="1" count="1" selected="0">
            <x v="2"/>
          </reference>
        </references>
      </pivotArea>
    </chartFormat>
    <chartFormat chart="2" format="26" series="1">
      <pivotArea type="data" outline="0" fieldPosition="0">
        <references count="2">
          <reference field="4294967294" count="1" selected="0">
            <x v="0"/>
          </reference>
          <reference field="1"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altText="Personal Expenses Data" altTextSummary="PivotChart data source for each month's total expenses grouped by expense categories. "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4" name="PersonalExpensesData"/>
  </pivotTables>
  <data>
    <tabular pivotCacheId="2" showMissing="0">
      <items count="14">
        <i x="3" s="1"/>
        <i x="4" s="1"/>
        <i x="6" s="1"/>
        <i x="8" s="1"/>
        <i x="1" s="1" nd="1"/>
        <i x="2" s="1" nd="1"/>
        <i x="5" s="1" nd="1"/>
        <i x="7" s="1" nd="1"/>
        <i x="9"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4" name="PersonalExpensesData"/>
  </pivotTables>
  <data>
    <tabular pivotCacheId="2" showMissing="0">
      <items count="4">
        <i x="2" s="1"/>
        <i x="1"/>
        <i x="0"/>
        <i x="3"/>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00000000-0013-0000-FFFF-FFFF03000000}" sourceName="Subcategory">
  <pivotTables>
    <pivotTable tabId="4" name="PersonalExpensesData"/>
  </pivotTables>
  <data>
    <tabular pivotCacheId="2" showMissing="0">
      <items count="12">
        <i x="4" s="1"/>
        <i x="10" s="1"/>
        <i x="7" s="1"/>
        <i x="9" s="1"/>
        <i x="8" s="1"/>
        <i x="11" s="1" nd="1"/>
        <i x="2" s="1" nd="1"/>
        <i x="6" s="1" nd="1"/>
        <i x="3" s="1" nd="1"/>
        <i x="0" s="1" nd="1"/>
        <i x="1"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columnCount="3" rowHeight="182880"/>
  <slicer name="Category" xr10:uid="{00000000-0014-0000-FFFF-FFFF02000000}" cache="Slicer_Category" caption="Category" columnCount="2" rowHeight="182880"/>
  <slicer name="Subcategory" xr10:uid="{00000000-0014-0000-FFFF-FFFF03000000}" cache="Slicer_Subcategory" caption="Subcategory" columnCount="4"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Expenses" displayName="Expenses" ref="B2:F22" totalsRowShown="0" headerRowDxfId="19" dataDxfId="18">
  <autoFilter ref="B2:F22" xr:uid="{00000000-0009-0000-0100-00000C000000}"/>
  <sortState xmlns:xlrd2="http://schemas.microsoft.com/office/spreadsheetml/2017/richdata2" ref="B3:F22">
    <sortCondition ref="B2:B22"/>
  </sortState>
  <tableColumns count="5">
    <tableColumn id="1" xr3:uid="{00000000-0010-0000-0000-000001000000}" name="Date" dataDxfId="17"/>
    <tableColumn id="2" xr3:uid="{00000000-0010-0000-0000-000002000000}" name="Category" dataDxfId="16"/>
    <tableColumn id="3" xr3:uid="{00000000-0010-0000-0000-000003000000}" name="Subcategory" dataDxfId="15"/>
    <tableColumn id="6" xr3:uid="{00000000-0010-0000-0000-000006000000}" name="Amount" dataDxfId="14"/>
    <tableColumn id="4" xr3:uid="{00000000-0010-0000-0000-000004000000}" name="Note" dataDxfId="13"/>
  </tableColumns>
  <tableStyleInfo name="Expense Log" showFirstColumn="0" showLastColumn="0" showRowStripes="1" showColumnStripes="0"/>
  <extLst>
    <ext xmlns:x14="http://schemas.microsoft.com/office/spreadsheetml/2009/9/main" uri="{504A1905-F514-4f6f-8877-14C23A59335A}">
      <x14:table altTextSummary="Enter date, category, subcategory, amount, and notes in this table"/>
    </ext>
  </extLst>
</table>
</file>

<file path=xl/theme/theme1.xml><?xml version="1.0" encoding="utf-8"?>
<a:theme xmlns:a="http://schemas.openxmlformats.org/drawingml/2006/main" name="Personal">
  <a:themeElements>
    <a:clrScheme name="Rainbow">
      <a:dk1>
        <a:srgbClr val="000000"/>
      </a:dk1>
      <a:lt1>
        <a:srgbClr val="FFFFFF"/>
      </a:lt1>
      <a:dk2>
        <a:srgbClr val="7E8083"/>
      </a:dk2>
      <a:lt2>
        <a:srgbClr val="E4E5E6"/>
      </a:lt2>
      <a:accent1>
        <a:srgbClr val="7AC143"/>
      </a:accent1>
      <a:accent2>
        <a:srgbClr val="00853E"/>
      </a:accent2>
      <a:accent3>
        <a:srgbClr val="00ADEE"/>
      </a:accent3>
      <a:accent4>
        <a:srgbClr val="FFC000"/>
      </a:accent4>
      <a:accent5>
        <a:srgbClr val="F47920"/>
      </a:accent5>
      <a:accent6>
        <a:srgbClr val="E51937"/>
      </a:accent6>
      <a:hlink>
        <a:srgbClr val="F47920"/>
      </a:hlink>
      <a:folHlink>
        <a:srgbClr val="954F72"/>
      </a:folHlink>
    </a:clrScheme>
    <a:fontScheme name="Custom 2">
      <a:majorFont>
        <a:latin typeface="Rockwell"/>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autoPageBreaks="0" fitToPage="1"/>
  </sheetPr>
  <dimension ref="B1:F3"/>
  <sheetViews>
    <sheetView showGridLines="0" zoomScaleNormal="100" workbookViewId="0"/>
  </sheetViews>
  <sheetFormatPr baseColWidth="10" defaultColWidth="6.140625" defaultRowHeight="15" customHeight="1"/>
  <cols>
    <col min="1" max="1" width="2.85546875" style="3" customWidth="1"/>
    <col min="2" max="2" width="17.140625" style="3" customWidth="1"/>
    <col min="3" max="3" width="25.140625" style="3" customWidth="1"/>
    <col min="4" max="4" width="23.140625" style="3" customWidth="1"/>
    <col min="5" max="5" width="13.140625" style="3" customWidth="1"/>
    <col min="6" max="6" width="74.5703125" style="3" customWidth="1"/>
    <col min="7" max="7" width="2.85546875" style="3" customWidth="1"/>
    <col min="8" max="16384" width="6.140625" style="3"/>
  </cols>
  <sheetData>
    <row r="1" spans="2:6" ht="63" customHeight="1">
      <c r="B1" s="5"/>
      <c r="C1" s="16" t="s">
        <v>35</v>
      </c>
      <c r="D1" s="16"/>
      <c r="E1" s="16"/>
      <c r="F1" s="6" t="s">
        <v>0</v>
      </c>
    </row>
    <row r="2" spans="2:6" ht="366.75" customHeight="1">
      <c r="B2" s="13"/>
      <c r="C2" s="13"/>
      <c r="D2" s="13"/>
      <c r="E2" s="13"/>
      <c r="F2" s="13"/>
    </row>
    <row r="3" spans="2:6" ht="142.5" customHeight="1">
      <c r="B3" s="13"/>
      <c r="C3" s="13"/>
      <c r="D3" s="15"/>
      <c r="E3" s="15"/>
      <c r="F3" s="4"/>
    </row>
  </sheetData>
  <sheetProtection selectLockedCells="1" pivotTables="0" selectUnlockedCells="1"/>
  <mergeCells count="2">
    <mergeCell ref="D3:E3"/>
    <mergeCell ref="C1:E1"/>
  </mergeCells>
  <dataValidations count="7">
    <dataValidation allowBlank="1" showInputMessage="1" showErrorMessage="1" prompt="Create a Personal Expenses Calculator in this workbook. PivotChart showing expenses per category and month is in cell B2. Select cell F1 to navigate to Expense Log worksheet" sqref="A1" xr:uid="{00000000-0002-0000-0000-000000000000}"/>
    <dataValidation allowBlank="1" showInputMessage="1" showErrorMessage="1" prompt="Navigation link to Expense Log worksheet is in this cell" sqref="F1" xr:uid="{00000000-0002-0000-0000-000002000000}"/>
    <dataValidation allowBlank="1" showInputMessage="1" showErrorMessage="1" prompt="Title of this worksheet is in this cell. Personal Expenses PivotChart is in cell below. Navigation link to Expense Log worksheet is in cell at right" sqref="C1" xr:uid="{00000000-0002-0000-0000-000001000000}"/>
    <dataValidation allowBlank="1" showInputMessage="1" showErrorMessage="1" prompt="PivotChart showing expenses by category and month is in this cell. Slicers to filter expenses by Date, Categories, and Subcategories is in cells B3, D3, &amp; F3, below." sqref="B2" xr:uid="{7A0FB6F5-FA9E-4463-A8C7-23E8586F85E8}"/>
    <dataValidation allowBlank="1" showInputMessage="1" showErrorMessage="1" prompt="Slicer to filter table data based on date is in this cell." sqref="B3" xr:uid="{C7D799DC-2F62-438C-928C-E8E0D1BFB44C}"/>
    <dataValidation allowBlank="1" showInputMessage="1" showErrorMessage="1" prompt="Slicer to filter table data based on category is in this cell." sqref="D3:E3" xr:uid="{85E89BAE-2C97-482C-9233-429AAB1AD4D0}"/>
    <dataValidation allowBlank="1" showInputMessage="1" showErrorMessage="1" prompt="Slicer to filter table data based on subcategory is in this cell." sqref="F3" xr:uid="{EDA6D175-8040-4C44-8246-B12165C40CD9}"/>
  </dataValidations>
  <hyperlinks>
    <hyperlink ref="F1" location="'Expense Log'!A1" tooltip="Select to navigate to Expense Log worksheet" display="to expense log &gt;" xr:uid="{00000000-0004-0000-0000-000000000000}"/>
  </hyperlinks>
  <printOptions horizontalCentered="1"/>
  <pageMargins left="0.25" right="0.25" top="0.75" bottom="0.75" header="0.3" footer="0.3"/>
  <pageSetup scale="78" fitToHeight="0" orientation="landscape" r:id="rId1"/>
  <headerFooter differentFirst="1">
    <oddFooter>Page &amp;P of &amp;N</oddFooter>
  </headerFooter>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pageSetUpPr autoPageBreaks="0" fitToPage="1"/>
  </sheetPr>
  <dimension ref="B1:F22"/>
  <sheetViews>
    <sheetView showGridLines="0" zoomScaleNormal="100" workbookViewId="0">
      <selection activeCell="F1" sqref="F1"/>
    </sheetView>
  </sheetViews>
  <sheetFormatPr baseColWidth="10" defaultColWidth="8.85546875" defaultRowHeight="30" customHeight="1"/>
  <cols>
    <col min="1" max="1" width="2.85546875" style="3" customWidth="1"/>
    <col min="2" max="2" width="17.140625" style="3" customWidth="1"/>
    <col min="3" max="3" width="25.140625" style="3" customWidth="1"/>
    <col min="4" max="4" width="23.140625" style="3" customWidth="1"/>
    <col min="5" max="5" width="13.140625" style="3" customWidth="1"/>
    <col min="6" max="6" width="38.140625" style="3" customWidth="1"/>
    <col min="7" max="7" width="2.85546875" style="3" customWidth="1"/>
    <col min="8" max="16384" width="8.85546875" style="3"/>
  </cols>
  <sheetData>
    <row r="1" spans="2:6" ht="63" customHeight="1">
      <c r="B1" s="16" t="s">
        <v>36</v>
      </c>
      <c r="C1" s="16"/>
      <c r="D1" s="16"/>
      <c r="E1" s="12"/>
      <c r="F1" s="6" t="s">
        <v>1</v>
      </c>
    </row>
    <row r="2" spans="2:6" ht="30" customHeight="1">
      <c r="B2" s="7" t="s">
        <v>30</v>
      </c>
      <c r="C2" s="7" t="s">
        <v>31</v>
      </c>
      <c r="D2" s="7" t="s">
        <v>32</v>
      </c>
      <c r="E2" s="1" t="s">
        <v>33</v>
      </c>
      <c r="F2" s="7" t="s">
        <v>34</v>
      </c>
    </row>
    <row r="3" spans="2:6" ht="30" customHeight="1">
      <c r="B3" s="11">
        <f ca="1">DATE(YEAR(TODAY()),3,2)</f>
        <v>45718</v>
      </c>
      <c r="C3" s="8" t="s">
        <v>2</v>
      </c>
      <c r="D3" s="8" t="s">
        <v>3</v>
      </c>
      <c r="E3" s="9">
        <v>29</v>
      </c>
      <c r="F3" s="10"/>
    </row>
    <row r="4" spans="2:6" ht="30" customHeight="1">
      <c r="B4" s="11">
        <f t="shared" ref="B4" ca="1" si="0">DATE(YEAR(TODAY()),3,2)</f>
        <v>45718</v>
      </c>
      <c r="C4" s="8" t="s">
        <v>2</v>
      </c>
      <c r="D4" s="8" t="s">
        <v>4</v>
      </c>
      <c r="E4" s="9">
        <v>39</v>
      </c>
      <c r="F4" s="8"/>
    </row>
    <row r="5" spans="2:6" ht="30" customHeight="1">
      <c r="B5" s="11">
        <f ca="1">DATE(YEAR(TODAY()),3,4)</f>
        <v>45720</v>
      </c>
      <c r="C5" s="8" t="s">
        <v>2</v>
      </c>
      <c r="D5" s="8" t="s">
        <v>5</v>
      </c>
      <c r="E5" s="9">
        <v>62</v>
      </c>
      <c r="F5" s="8"/>
    </row>
    <row r="6" spans="2:6" ht="30" customHeight="1">
      <c r="B6" s="11">
        <f ca="1">DATE(YEAR(TODAY()),3,4)</f>
        <v>45720</v>
      </c>
      <c r="C6" s="8" t="s">
        <v>6</v>
      </c>
      <c r="D6" s="8" t="s">
        <v>7</v>
      </c>
      <c r="E6" s="9">
        <v>29</v>
      </c>
      <c r="F6" s="8"/>
    </row>
    <row r="7" spans="2:6" ht="30" customHeight="1">
      <c r="B7" s="11">
        <f ca="1">DATE(YEAR(TODAY()),3,6)</f>
        <v>45722</v>
      </c>
      <c r="C7" s="8" t="s">
        <v>8</v>
      </c>
      <c r="D7" s="8" t="s">
        <v>9</v>
      </c>
      <c r="E7" s="9">
        <v>42</v>
      </c>
      <c r="F7" s="8"/>
    </row>
    <row r="8" spans="2:6" ht="30" customHeight="1">
      <c r="B8" s="11">
        <f ca="1">DATE(YEAR(TODAY()),3,6)</f>
        <v>45722</v>
      </c>
      <c r="C8" s="8" t="s">
        <v>10</v>
      </c>
      <c r="D8" s="8" t="s">
        <v>11</v>
      </c>
      <c r="E8" s="9">
        <v>21</v>
      </c>
      <c r="F8" s="8" t="s">
        <v>12</v>
      </c>
    </row>
    <row r="9" spans="2:6" ht="30" customHeight="1">
      <c r="B9" s="11">
        <f ca="1">DATE(YEAR(TODAY()),4,2)</f>
        <v>45749</v>
      </c>
      <c r="C9" s="8" t="s">
        <v>10</v>
      </c>
      <c r="D9" s="8" t="s">
        <v>13</v>
      </c>
      <c r="E9" s="9">
        <v>54</v>
      </c>
      <c r="F9" s="8"/>
    </row>
    <row r="10" spans="2:6" ht="30" customHeight="1">
      <c r="B10" s="11">
        <f t="shared" ref="B10:B12" ca="1" si="1">DATE(YEAR(TODAY()),4,2)</f>
        <v>45749</v>
      </c>
      <c r="C10" s="8" t="s">
        <v>8</v>
      </c>
      <c r="D10" s="8" t="s">
        <v>14</v>
      </c>
      <c r="E10" s="9">
        <v>12</v>
      </c>
      <c r="F10" s="8"/>
    </row>
    <row r="11" spans="2:6" ht="30" customHeight="1">
      <c r="B11" s="11">
        <f t="shared" ca="1" si="1"/>
        <v>45749</v>
      </c>
      <c r="C11" s="8" t="s">
        <v>8</v>
      </c>
      <c r="D11" s="8" t="s">
        <v>15</v>
      </c>
      <c r="E11" s="9">
        <v>12</v>
      </c>
      <c r="F11" s="8"/>
    </row>
    <row r="12" spans="2:6" ht="30" customHeight="1">
      <c r="B12" s="11">
        <f t="shared" ca="1" si="1"/>
        <v>45749</v>
      </c>
      <c r="C12" s="8" t="s">
        <v>8</v>
      </c>
      <c r="D12" s="8" t="s">
        <v>16</v>
      </c>
      <c r="E12" s="9">
        <v>2.75</v>
      </c>
      <c r="F12" s="8"/>
    </row>
    <row r="13" spans="2:6" ht="30" customHeight="1">
      <c r="B13" s="11">
        <f ca="1">DATE(YEAR(TODAY()),4,4)</f>
        <v>45751</v>
      </c>
      <c r="C13" s="8" t="s">
        <v>2</v>
      </c>
      <c r="D13" s="8" t="s">
        <v>3</v>
      </c>
      <c r="E13" s="9">
        <v>29</v>
      </c>
      <c r="F13" s="8"/>
    </row>
    <row r="14" spans="2:6" ht="30" customHeight="1">
      <c r="B14" s="11">
        <f ca="1">DATE(YEAR(TODAY()),4,4)</f>
        <v>45751</v>
      </c>
      <c r="C14" s="8" t="s">
        <v>2</v>
      </c>
      <c r="D14" s="8" t="s">
        <v>4</v>
      </c>
      <c r="E14" s="9">
        <v>39</v>
      </c>
      <c r="F14" s="8"/>
    </row>
    <row r="15" spans="2:6" ht="30" customHeight="1">
      <c r="B15" s="11">
        <f ca="1">DATE(YEAR(TODAY()),4,4)</f>
        <v>45751</v>
      </c>
      <c r="C15" s="8" t="s">
        <v>2</v>
      </c>
      <c r="D15" s="8" t="s">
        <v>5</v>
      </c>
      <c r="E15" s="9">
        <v>62</v>
      </c>
      <c r="F15" s="8"/>
    </row>
    <row r="16" spans="2:6" ht="30" customHeight="1">
      <c r="B16" s="11">
        <f ca="1">DATE(YEAR(TODAY()),4,4)</f>
        <v>45751</v>
      </c>
      <c r="C16" s="8" t="s">
        <v>8</v>
      </c>
      <c r="D16" s="8" t="s">
        <v>17</v>
      </c>
      <c r="E16" s="9">
        <v>29</v>
      </c>
      <c r="F16" s="8"/>
    </row>
    <row r="17" spans="2:6" ht="30" customHeight="1">
      <c r="B17" s="11">
        <f ca="1">DATE(YEAR(TODAY()),4,6)</f>
        <v>45753</v>
      </c>
      <c r="C17" s="8" t="s">
        <v>8</v>
      </c>
      <c r="D17" s="8" t="s">
        <v>9</v>
      </c>
      <c r="E17" s="9">
        <v>42</v>
      </c>
      <c r="F17" s="8"/>
    </row>
    <row r="18" spans="2:6" ht="30" customHeight="1">
      <c r="B18" s="11">
        <f ca="1">DATE(YEAR(TODAY()),4,6)</f>
        <v>45753</v>
      </c>
      <c r="C18" s="8" t="s">
        <v>10</v>
      </c>
      <c r="D18" s="8" t="s">
        <v>11</v>
      </c>
      <c r="E18" s="9">
        <v>21</v>
      </c>
      <c r="F18" s="8" t="s">
        <v>18</v>
      </c>
    </row>
    <row r="19" spans="2:6" ht="30" customHeight="1">
      <c r="B19" s="11">
        <f ca="1">DATE(YEAR(TODAY()),5,1)</f>
        <v>45778</v>
      </c>
      <c r="C19" s="8" t="s">
        <v>10</v>
      </c>
      <c r="D19" s="8" t="s">
        <v>13</v>
      </c>
      <c r="E19" s="9">
        <v>54</v>
      </c>
      <c r="F19" s="8"/>
    </row>
    <row r="20" spans="2:6" ht="30" customHeight="1">
      <c r="B20" s="11">
        <f ca="1">DATE(YEAR(TODAY()),6,1)</f>
        <v>45809</v>
      </c>
      <c r="C20" s="8" t="s">
        <v>8</v>
      </c>
      <c r="D20" s="8" t="s">
        <v>14</v>
      </c>
      <c r="E20" s="9">
        <v>12</v>
      </c>
      <c r="F20" s="8"/>
    </row>
    <row r="21" spans="2:6" ht="30" customHeight="1">
      <c r="B21" s="11">
        <f ca="1">DATE(YEAR(TODAY()),7,1)</f>
        <v>45839</v>
      </c>
      <c r="C21" s="8" t="s">
        <v>6</v>
      </c>
      <c r="D21" s="8" t="s">
        <v>19</v>
      </c>
      <c r="E21" s="9">
        <v>21</v>
      </c>
      <c r="F21" s="8" t="s">
        <v>20</v>
      </c>
    </row>
    <row r="22" spans="2:6" ht="30" customHeight="1">
      <c r="B22" s="11">
        <f ca="1">DATE(YEAR(TODAY()),8,1)</f>
        <v>45870</v>
      </c>
      <c r="C22" s="8" t="s">
        <v>8</v>
      </c>
      <c r="D22" s="8" t="s">
        <v>16</v>
      </c>
      <c r="E22" s="9">
        <v>2.75</v>
      </c>
      <c r="F22" s="8"/>
    </row>
  </sheetData>
  <mergeCells count="1">
    <mergeCell ref="B1:D1"/>
  </mergeCells>
  <dataValidations count="10">
    <dataValidation type="date" operator="greaterThan" allowBlank="1" showInputMessage="1" showErrorMessage="1" sqref="B3:B22" xr:uid="{00000000-0002-0000-0100-000000000000}">
      <formula1>40544</formula1>
    </dataValidation>
    <dataValidation type="decimal" allowBlank="1" showInputMessage="1" showErrorMessage="1" sqref="E3:E22" xr:uid="{00000000-0002-0000-0100-000001000000}">
      <formula1>0</formula1>
      <formula2>100000</formula2>
    </dataValidation>
    <dataValidation allowBlank="1" showInputMessage="1" showErrorMessage="1" prompt="Create an Expense Log in this worksheet. Select cell F1 to navigate to Dashboard. Enter expense details in Expenses table" sqref="A1" xr:uid="{00000000-0002-0000-0100-000002000000}"/>
    <dataValidation allowBlank="1" showInputMessage="1" showErrorMessage="1" prompt="Title of this worksheet is in this cell. Navigation link to Dashboard worksheet is in cell at right. Enter details in table below" sqref="B1:E1" xr:uid="{00000000-0002-0000-0100-000003000000}"/>
    <dataValidation allowBlank="1" showInputMessage="1" showErrorMessage="1" prompt="Navigation link to Dashboard worksheet is in this cell" sqref="F1" xr:uid="{00000000-0002-0000-0100-000004000000}"/>
    <dataValidation allowBlank="1" showInputMessage="1" showErrorMessage="1" prompt="Enter date in this column under this heading. Use heading filters to find specific entries" sqref="B2" xr:uid="{00000000-0002-0000-0100-000005000000}"/>
    <dataValidation allowBlank="1" showInputMessage="1" showErrorMessage="1" prompt="Enter category in this column under this heading" sqref="C2" xr:uid="{00000000-0002-0000-0100-000006000000}"/>
    <dataValidation allowBlank="1" showInputMessage="1" showErrorMessage="1" prompt="Enter subcategory in this column under this heading" sqref="D2" xr:uid="{00000000-0002-0000-0100-000007000000}"/>
    <dataValidation allowBlank="1" showInputMessage="1" showErrorMessage="1" prompt="Enter amount in this column under this heading" sqref="E2" xr:uid="{00000000-0002-0000-0100-000008000000}"/>
    <dataValidation allowBlank="1" showInputMessage="1" showErrorMessage="1" prompt="Enter note in this column under this heading" sqref="F2" xr:uid="{00000000-0002-0000-0100-000009000000}"/>
  </dataValidations>
  <hyperlinks>
    <hyperlink ref="F1" location="Dashboard!A1" tooltip="Select to navigate to Dashboard worksheet" display="&lt; to dashboard" xr:uid="{00000000-0004-0000-0100-000000000000}"/>
  </hyperlinks>
  <printOptions horizontalCentered="1"/>
  <pageMargins left="0.7" right="0.7" top="0.75" bottom="0.75" header="0.3" footer="0.3"/>
  <pageSetup fitToHeight="0" orientation="landscape"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46B78-1AA5-E14B-80CB-A312C550673D}">
  <dimension ref="A1:I26"/>
  <sheetViews>
    <sheetView workbookViewId="0">
      <selection activeCell="F16" sqref="F16"/>
    </sheetView>
  </sheetViews>
  <sheetFormatPr baseColWidth="10" defaultRowHeight="14"/>
  <cols>
    <col min="2" max="2" width="12.42578125" customWidth="1"/>
  </cols>
  <sheetData>
    <row r="1" spans="1:9">
      <c r="A1" s="19"/>
      <c r="B1" s="19"/>
      <c r="C1" s="19"/>
      <c r="D1" s="19"/>
      <c r="E1" s="20"/>
      <c r="F1" s="20"/>
      <c r="G1" s="20"/>
      <c r="H1" s="20"/>
      <c r="I1" s="20"/>
    </row>
    <row r="2" spans="1:9" ht="15">
      <c r="A2" s="19" t="s">
        <v>30</v>
      </c>
      <c r="B2" s="19" t="s">
        <v>38</v>
      </c>
      <c r="C2" s="19" t="s">
        <v>31</v>
      </c>
      <c r="D2" s="19" t="s">
        <v>33</v>
      </c>
      <c r="E2" s="20"/>
      <c r="F2" s="20"/>
      <c r="G2" s="20"/>
      <c r="H2" s="20"/>
      <c r="I2" s="20"/>
    </row>
    <row r="3" spans="1:9">
      <c r="A3" s="19"/>
      <c r="B3" s="19"/>
      <c r="C3" s="19"/>
      <c r="D3" s="21"/>
      <c r="E3" s="20"/>
      <c r="F3" s="20"/>
      <c r="G3" s="20"/>
      <c r="H3" s="20"/>
      <c r="I3" s="20"/>
    </row>
    <row r="4" spans="1:9">
      <c r="A4" s="19"/>
      <c r="B4" s="19"/>
      <c r="C4" s="19"/>
      <c r="D4" s="21"/>
      <c r="E4" s="20"/>
      <c r="F4" s="20"/>
      <c r="G4" s="20"/>
      <c r="H4" s="20"/>
      <c r="I4" s="20"/>
    </row>
    <row r="5" spans="1:9">
      <c r="A5" s="19"/>
      <c r="B5" s="19"/>
      <c r="C5" s="19"/>
      <c r="D5" s="21"/>
      <c r="E5" s="20"/>
      <c r="F5" s="20"/>
      <c r="G5" s="20"/>
      <c r="H5" s="20"/>
      <c r="I5" s="20"/>
    </row>
    <row r="6" spans="1:9">
      <c r="A6" s="19"/>
      <c r="B6" s="19"/>
      <c r="C6" s="19"/>
      <c r="D6" s="21"/>
      <c r="E6" s="20"/>
      <c r="F6" s="20"/>
      <c r="G6" s="20"/>
      <c r="H6" s="20"/>
      <c r="I6" s="20"/>
    </row>
    <row r="7" spans="1:9">
      <c r="A7" s="19"/>
      <c r="B7" s="19"/>
      <c r="C7" s="19"/>
      <c r="D7" s="21"/>
      <c r="E7" s="20"/>
      <c r="F7" s="20"/>
      <c r="G7" s="20"/>
      <c r="H7" s="20"/>
      <c r="I7" s="20"/>
    </row>
    <row r="8" spans="1:9">
      <c r="A8" s="19"/>
      <c r="B8" s="19"/>
      <c r="C8" s="19"/>
      <c r="D8" s="21"/>
      <c r="E8" s="20"/>
      <c r="F8" s="20"/>
      <c r="G8" s="20"/>
      <c r="H8" s="20"/>
      <c r="I8" s="20"/>
    </row>
    <row r="9" spans="1:9">
      <c r="A9" s="19"/>
      <c r="B9" s="19"/>
      <c r="C9" s="19"/>
      <c r="D9" s="21"/>
      <c r="E9" s="20"/>
      <c r="F9" s="20"/>
      <c r="G9" s="20"/>
      <c r="H9" s="20"/>
      <c r="I9" s="20"/>
    </row>
    <row r="10" spans="1:9">
      <c r="A10" s="19"/>
      <c r="B10" s="19"/>
      <c r="C10" s="19"/>
      <c r="D10" s="21"/>
      <c r="E10" s="20"/>
      <c r="F10" s="20"/>
      <c r="G10" s="20"/>
      <c r="H10" s="20"/>
      <c r="I10" s="20"/>
    </row>
    <row r="11" spans="1:9">
      <c r="A11" s="19"/>
      <c r="B11" s="19"/>
      <c r="C11" s="19"/>
      <c r="D11" s="21"/>
      <c r="E11" s="20"/>
      <c r="F11" s="20"/>
      <c r="G11" s="20"/>
      <c r="H11" s="20"/>
      <c r="I11" s="20"/>
    </row>
    <row r="12" spans="1:9">
      <c r="A12" s="19"/>
      <c r="B12" s="19"/>
      <c r="C12" s="19"/>
      <c r="D12" s="21"/>
      <c r="E12" s="20"/>
      <c r="F12" s="20"/>
      <c r="G12" s="20"/>
      <c r="H12" s="20"/>
      <c r="I12" s="20"/>
    </row>
    <row r="13" spans="1:9">
      <c r="A13" s="19"/>
      <c r="B13" s="19"/>
      <c r="C13" s="19"/>
      <c r="D13" s="21"/>
      <c r="E13" s="20"/>
      <c r="F13" s="20"/>
      <c r="G13" s="20"/>
      <c r="H13" s="20"/>
      <c r="I13" s="20"/>
    </row>
    <row r="14" spans="1:9">
      <c r="A14" s="19"/>
      <c r="B14" s="19"/>
      <c r="C14" s="19"/>
      <c r="D14" s="21"/>
      <c r="E14" s="20"/>
      <c r="F14" s="20"/>
      <c r="G14" s="20"/>
      <c r="H14" s="20"/>
      <c r="I14" s="20"/>
    </row>
    <row r="15" spans="1:9">
      <c r="A15" s="19"/>
      <c r="B15" s="19"/>
      <c r="C15" s="19"/>
      <c r="D15" s="21"/>
      <c r="E15" s="20"/>
      <c r="F15" s="20"/>
      <c r="G15" s="20"/>
      <c r="H15" s="20"/>
      <c r="I15" s="20"/>
    </row>
    <row r="16" spans="1:9">
      <c r="A16" s="19"/>
      <c r="B16" s="19"/>
      <c r="C16" s="19"/>
      <c r="D16" s="21"/>
      <c r="E16" s="20"/>
      <c r="F16" s="20"/>
      <c r="G16" s="20"/>
      <c r="H16" s="20"/>
      <c r="I16" s="20"/>
    </row>
    <row r="17" spans="1:9">
      <c r="A17" s="19"/>
      <c r="B17" s="19"/>
      <c r="C17" s="19"/>
      <c r="D17" s="21"/>
      <c r="E17" s="20"/>
      <c r="F17" s="20"/>
      <c r="G17" s="20"/>
      <c r="H17" s="20"/>
      <c r="I17" s="20"/>
    </row>
    <row r="18" spans="1:9">
      <c r="A18" s="19"/>
      <c r="B18" s="19"/>
      <c r="C18" s="19"/>
      <c r="D18" s="21"/>
      <c r="E18" s="20"/>
      <c r="F18" s="20"/>
      <c r="G18" s="20"/>
      <c r="H18" s="20"/>
      <c r="I18" s="20"/>
    </row>
    <row r="19" spans="1:9">
      <c r="A19" s="19"/>
      <c r="B19" s="19"/>
      <c r="C19" s="19"/>
      <c r="D19" s="21"/>
      <c r="E19" s="20"/>
      <c r="F19" s="20"/>
      <c r="G19" s="20"/>
      <c r="H19" s="20"/>
      <c r="I19" s="20"/>
    </row>
    <row r="20" spans="1:9">
      <c r="A20" s="19"/>
      <c r="B20" s="19"/>
      <c r="C20" s="19"/>
      <c r="D20" s="21"/>
      <c r="E20" s="20"/>
      <c r="F20" s="20"/>
      <c r="G20" s="20"/>
      <c r="H20" s="20"/>
      <c r="I20" s="20"/>
    </row>
    <row r="21" spans="1:9">
      <c r="A21" s="19"/>
      <c r="B21" s="19"/>
      <c r="C21" s="19"/>
      <c r="D21" s="21"/>
      <c r="E21" s="20"/>
      <c r="F21" s="20"/>
      <c r="G21" s="20"/>
      <c r="H21" s="20"/>
      <c r="I21" s="20"/>
    </row>
    <row r="22" spans="1:9">
      <c r="A22" s="19"/>
      <c r="B22" s="19"/>
      <c r="C22" s="19"/>
      <c r="D22" s="21"/>
      <c r="E22" s="20"/>
      <c r="F22" s="20"/>
      <c r="G22" s="20"/>
      <c r="H22" s="20"/>
      <c r="I22" s="20"/>
    </row>
    <row r="23" spans="1:9">
      <c r="A23" s="19"/>
      <c r="B23" s="19"/>
      <c r="C23" s="19"/>
      <c r="D23" s="21"/>
      <c r="E23" s="20"/>
      <c r="F23" s="20"/>
      <c r="G23" s="20"/>
      <c r="H23" s="20"/>
      <c r="I23" s="20"/>
    </row>
    <row r="24" spans="1:9">
      <c r="A24" s="19"/>
      <c r="B24" s="19"/>
      <c r="C24" s="19"/>
      <c r="D24" s="21"/>
      <c r="E24" s="20"/>
      <c r="F24" s="20"/>
      <c r="G24" s="20"/>
      <c r="H24" s="20"/>
      <c r="I24" s="20"/>
    </row>
    <row r="25" spans="1:9">
      <c r="E25" s="20"/>
      <c r="F25" s="20"/>
      <c r="G25" s="20"/>
      <c r="H25" s="20"/>
      <c r="I25" s="20"/>
    </row>
    <row r="26" spans="1:9">
      <c r="E26" s="20"/>
      <c r="F26" s="20"/>
      <c r="G26" s="20"/>
      <c r="H26" s="20"/>
      <c r="I26" s="2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8BBE5-5AC9-DE41-8F96-655858DC528F}">
  <dimension ref="A1"/>
  <sheetViews>
    <sheetView workbookViewId="0">
      <selection activeCell="G47" sqref="G47"/>
    </sheetView>
  </sheetViews>
  <sheetFormatPr baseColWidth="10" defaultRowHeight="14"/>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740A-3CC0-D64D-A767-4CED39D60FE5}">
  <dimension ref="A1"/>
  <sheetViews>
    <sheetView workbookViewId="0">
      <selection activeCell="H48" sqref="H48"/>
    </sheetView>
  </sheetViews>
  <sheetFormatPr baseColWidth="10" defaultRowHeight="1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F4913-8A40-9647-9858-9AAEFBEF1233}">
  <dimension ref="A1"/>
  <sheetViews>
    <sheetView workbookViewId="0">
      <selection activeCell="K47" sqref="K47"/>
    </sheetView>
  </sheetViews>
  <sheetFormatPr baseColWidth="10" defaultRowHeight="1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414F-D0BF-9142-93AF-3589DFBF4E4C}">
  <dimension ref="A1"/>
  <sheetViews>
    <sheetView workbookViewId="0">
      <selection activeCell="E37" sqref="E37"/>
    </sheetView>
  </sheetViews>
  <sheetFormatPr baseColWidth="10" defaultRowHeight="1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942EA-B2E1-D248-B7C8-579100E05172}">
  <dimension ref="A1"/>
  <sheetViews>
    <sheetView workbookViewId="0"/>
  </sheetViews>
  <sheetFormatPr baseColWidth="10" defaultRowHeight="14"/>
  <sheetData>
    <row r="1" spans="1:1">
      <c r="A1">
        <v>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0BF1-2548-D446-9B1F-604A3E8A3360}">
  <dimension ref="A1"/>
  <sheetViews>
    <sheetView workbookViewId="0">
      <selection activeCell="M51" sqref="M51"/>
    </sheetView>
  </sheetViews>
  <sheetFormatPr baseColWidth="10" defaultRowHeight="1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01690-2458-694E-904F-D637E4B7CEC6}">
  <dimension ref="A1"/>
  <sheetViews>
    <sheetView workbookViewId="0">
      <selection activeCell="K49" sqref="K49"/>
    </sheetView>
  </sheetViews>
  <sheetFormatPr baseColWidth="10" defaultRowHeight="1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A1AE-7B43-F647-99E3-20072F3B9F3D}">
  <dimension ref="A1"/>
  <sheetViews>
    <sheetView tabSelected="1" workbookViewId="0">
      <selection activeCell="D22" sqref="D22"/>
    </sheetView>
  </sheetViews>
  <sheetFormatPr baseColWidth="10" defaultRowHeight="1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D9"/>
  <sheetViews>
    <sheetView workbookViewId="0">
      <selection activeCell="B2" sqref="B2:F2"/>
    </sheetView>
  </sheetViews>
  <sheetFormatPr baseColWidth="10" defaultColWidth="8.85546875" defaultRowHeight="14"/>
  <cols>
    <col min="1" max="1" width="3" customWidth="1"/>
    <col min="2" max="2" width="13.42578125" bestFit="1" customWidth="1"/>
    <col min="3" max="3" width="10.7109375" bestFit="1" customWidth="1"/>
    <col min="4" max="5" width="6.7109375" bestFit="1" customWidth="1"/>
    <col min="6" max="6" width="5.7109375" bestFit="1" customWidth="1"/>
    <col min="7" max="7" width="7.7109375" bestFit="1" customWidth="1"/>
    <col min="8" max="8" width="4.5703125" bestFit="1" customWidth="1"/>
    <col min="9" max="9" width="7.140625" bestFit="1" customWidth="1"/>
    <col min="10" max="10" width="8.5703125" bestFit="1" customWidth="1"/>
    <col min="11" max="12" width="4.5703125" bestFit="1" customWidth="1"/>
    <col min="13" max="13" width="8.5703125" bestFit="1" customWidth="1"/>
    <col min="14" max="14" width="8" bestFit="1" customWidth="1"/>
  </cols>
  <sheetData>
    <row r="1" spans="1:4" s="2" customFormat="1" ht="53.25" customHeight="1" thickBot="1">
      <c r="A1"/>
      <c r="B1" s="17" t="s">
        <v>21</v>
      </c>
      <c r="C1" s="17"/>
      <c r="D1" s="17"/>
    </row>
    <row r="2" spans="1:4" ht="72.5" customHeight="1" thickTop="1">
      <c r="B2" s="18" t="s">
        <v>22</v>
      </c>
      <c r="C2" s="18"/>
      <c r="D2" s="18"/>
    </row>
    <row r="3" spans="1:4" ht="30">
      <c r="B3" t="s">
        <v>24</v>
      </c>
      <c r="C3" t="s">
        <v>37</v>
      </c>
    </row>
    <row r="4" spans="1:4" ht="45">
      <c r="B4" t="s">
        <v>23</v>
      </c>
      <c r="C4" t="s">
        <v>8</v>
      </c>
      <c r="D4" t="s">
        <v>29</v>
      </c>
    </row>
    <row r="5" spans="1:4" ht="15">
      <c r="B5" s="14" t="s">
        <v>25</v>
      </c>
      <c r="C5">
        <v>42</v>
      </c>
      <c r="D5">
        <v>42</v>
      </c>
    </row>
    <row r="6" spans="1:4" ht="15">
      <c r="B6" s="14" t="s">
        <v>26</v>
      </c>
      <c r="C6">
        <v>97.75</v>
      </c>
      <c r="D6">
        <v>97.75</v>
      </c>
    </row>
    <row r="7" spans="1:4" ht="15">
      <c r="B7" s="14" t="s">
        <v>27</v>
      </c>
      <c r="C7">
        <v>12</v>
      </c>
      <c r="D7">
        <v>12</v>
      </c>
    </row>
    <row r="8" spans="1:4" ht="15">
      <c r="B8" s="14" t="s">
        <v>28</v>
      </c>
      <c r="C8">
        <v>2.75</v>
      </c>
      <c r="D8">
        <v>2.75</v>
      </c>
    </row>
    <row r="9" spans="1:4" ht="15">
      <c r="B9" s="14" t="s">
        <v>29</v>
      </c>
      <c r="C9">
        <v>154.5</v>
      </c>
      <c r="D9">
        <v>154.5</v>
      </c>
    </row>
  </sheetData>
  <mergeCells count="2">
    <mergeCell ref="B1:D1"/>
    <mergeCell ref="B2:D2"/>
  </mergeCells>
  <dataValidations count="2">
    <dataValidation allowBlank="1" showInputMessage="1" showErrorMessage="1" prompt="Hidden worksheet has the pivot table data source, do not delete this worksheet. Deleting this worksheet will disrupt the Dashboard data" sqref="A1" xr:uid="{00000000-0002-0000-0200-000000000000}"/>
    <dataValidation allowBlank="1" showInputMessage="1" showErrorMessage="1" prompt="Title of this worksheet is in this cell. PivotChart data source starts in cell B3" sqref="B1:D1" xr:uid="{00000000-0002-0000-0200-000001000000}"/>
  </dataValidation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B6ACF0-0E5E-4249-BCC6-4A6CFA15E0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81C929-DEF5-4F57-9A1E-677B6ED0DA62}">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15D2AD32-8694-42EF-97B1-125B5896F9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TM33686846</Template>
  <Application>Microsoft Macintosh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Dashboard</vt:lpstr>
      <vt:lpstr>Expense Log</vt:lpstr>
      <vt:lpstr>Food</vt:lpstr>
      <vt:lpstr>Groceries</vt:lpstr>
      <vt:lpstr>Vehicle</vt:lpstr>
      <vt:lpstr>Household items</vt:lpstr>
      <vt:lpstr>Medical</vt:lpstr>
      <vt:lpstr>Shopping</vt:lpstr>
      <vt:lpstr>Sports, activites entertainment</vt:lpstr>
      <vt:lpstr>Grooming</vt:lpstr>
      <vt:lpstr>Big purchases</vt:lpstr>
      <vt:lpstr>Personal Expenses Data</vt:lpstr>
      <vt:lpstr>'Expense Log'!Print_Titles</vt:lpstr>
      <vt:lpstr>Title2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2022-02-14T07:03:18Z</dcterms:created>
  <dcterms:modified xsi:type="dcterms:W3CDTF">2025-09-07T09:27:11Z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